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_rels/workbook.xml.rels" ContentType="application/vnd.openxmlformats-package.relationship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rels/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IRP" sheetId="1" state="visible" r:id="rId3"/>
    <sheet name="Léeme" sheetId="2" state="visible" r:id="rId4"/>
    <sheet name="Datos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<sst xmlns="http://schemas.openxmlformats.org/spreadsheetml/2006/main" count="202" uniqueCount="97">
  <si>
    <t xml:space="preserve">Índice de Relación de Pareja (IRP) — versión mejorada</t>
  </si>
  <si>
    <t xml:space="preserve">Autovaloración exploratoria: no es una prueba validada, no mide el valor de una persona, no predice el futuro de la relación y no dice qué decidir. Elegí «No sé» si algo no lo conocés.</t>
  </si>
  <si>
    <t xml:space="preserve">Tipo</t>
  </si>
  <si>
    <t xml:space="preserve">Ítem</t>
  </si>
  <si>
    <t xml:space="preserve">Respuesta</t>
  </si>
  <si>
    <t xml:space="preserve">Peso</t>
  </si>
  <si>
    <t xml:space="preserve">Puntos (0–100)</t>
  </si>
  <si>
    <t xml:space="preserve">Aviso</t>
  </si>
  <si>
    <t xml:space="preserve">Peso usado</t>
  </si>
  <si>
    <t xml:space="preserve">Aporte</t>
  </si>
  <si>
    <t xml:space="preserve">Marca</t>
  </si>
  <si>
    <t xml:space="preserve">Resultado</t>
  </si>
  <si>
    <t xml:space="preserve">Bueno</t>
  </si>
  <si>
    <t xml:space="preserve">Paz</t>
  </si>
  <si>
    <t xml:space="preserve">No sé</t>
  </si>
  <si>
    <t xml:space="preserve">Presencia de lo positivo (0–100)</t>
  </si>
  <si>
    <t xml:space="preserve">Sinceridad</t>
  </si>
  <si>
    <t xml:space="preserve">Ausencia de lo problemático (0–100)</t>
  </si>
  <si>
    <t xml:space="preserve">Crecimiento</t>
  </si>
  <si>
    <t xml:space="preserve">IRP mejorado (0–100; sin cifra si hay alerta de seguridad)</t>
  </si>
  <si>
    <t xml:space="preserve">Autoconfianza</t>
  </si>
  <si>
    <t xml:space="preserve">Casillas respondidas</t>
  </si>
  <si>
    <t xml:space="preserve">Metas claras</t>
  </si>
  <si>
    <t xml:space="preserve">Cobertura</t>
  </si>
  <si>
    <t xml:space="preserve">Buena influencia</t>
  </si>
  <si>
    <t xml:space="preserve">Alertas de seguridad</t>
  </si>
  <si>
    <t xml:space="preserve">Independiente</t>
  </si>
  <si>
    <t xml:space="preserve">Avisos de atención</t>
  </si>
  <si>
    <t xml:space="preserve">Alegría</t>
  </si>
  <si>
    <t xml:space="preserve">Lectura</t>
  </si>
  <si>
    <t xml:space="preserve">Placer</t>
  </si>
  <si>
    <t xml:space="preserve">Ser uno mismo</t>
  </si>
  <si>
    <t xml:space="preserve">Te ayuda</t>
  </si>
  <si>
    <t xml:space="preserve">Comprensión</t>
  </si>
  <si>
    <t xml:space="preserve">Fidelidad</t>
  </si>
  <si>
    <t xml:space="preserve">Respeto</t>
  </si>
  <si>
    <t xml:space="preserve">Comunicativo</t>
  </si>
  <si>
    <t xml:space="preserve">Detallista</t>
  </si>
  <si>
    <t xml:space="preserve">Compartir juntos</t>
  </si>
  <si>
    <t xml:space="preserve">Cariñoso</t>
  </si>
  <si>
    <t xml:space="preserve">Cómo se calcula: cada casilla vale 0, 25, 50, 75 o 100 (en las filas «Malo» la escala está invertida: «Nada de eso» = 100). Los «No sé» no cuentan. Cada lista se promedia con sus pesos y el IRP es el promedio de ambas, siempre que haya al menos la mitad de cada lista respondida. Ver docs/irp.md.</t>
  </si>
  <si>
    <t xml:space="preserve">Estabilidad</t>
  </si>
  <si>
    <t xml:space="preserve">Compromiso</t>
  </si>
  <si>
    <t xml:space="preserve">Planes en conjunto</t>
  </si>
  <si>
    <t xml:space="preserve">Sin presumir (humildad)</t>
  </si>
  <si>
    <t xml:space="preserve">Gastos compartidos</t>
  </si>
  <si>
    <t xml:space="preserve">Responsable</t>
  </si>
  <si>
    <t xml:space="preserve">Buen sexo</t>
  </si>
  <si>
    <t xml:space="preserve">Confianza</t>
  </si>
  <si>
    <t xml:space="preserve">Malo</t>
  </si>
  <si>
    <t xml:space="preserve">Tristeza</t>
  </si>
  <si>
    <t xml:space="preserve">Estrés</t>
  </si>
  <si>
    <t xml:space="preserve">Inseguridad</t>
  </si>
  <si>
    <t xml:space="preserve">Infidelidad</t>
  </si>
  <si>
    <t xml:space="preserve">Atención</t>
  </si>
  <si>
    <t xml:space="preserve">Irrespeto</t>
  </si>
  <si>
    <t xml:space="preserve">Fingir ser lo que no se es</t>
  </si>
  <si>
    <t xml:space="preserve">Pegajoso</t>
  </si>
  <si>
    <t xml:space="preserve">Falta de interés</t>
  </si>
  <si>
    <t xml:space="preserve">No te ayuda</t>
  </si>
  <si>
    <t xml:space="preserve">Ser egoísta</t>
  </si>
  <si>
    <t xml:space="preserve">Sin metas claras</t>
  </si>
  <si>
    <t xml:space="preserve">Mala influencia</t>
  </si>
  <si>
    <t xml:space="preserve">Presumir</t>
  </si>
  <si>
    <t xml:space="preserve">Te pega</t>
  </si>
  <si>
    <t xml:space="preserve">Seguridad</t>
  </si>
  <si>
    <t xml:space="preserve">Siempre tiene la razón</t>
  </si>
  <si>
    <t xml:space="preserve">Te grita y te amenaza</t>
  </si>
  <si>
    <t xml:space="preserve">Decrecimiento</t>
  </si>
  <si>
    <t xml:space="preserve">No te encariña</t>
  </si>
  <si>
    <t xml:space="preserve">Gastás vos solo</t>
  </si>
  <si>
    <t xml:space="preserve">Solo sexo</t>
  </si>
  <si>
    <t xml:space="preserve">Tiene excusa para todo</t>
  </si>
  <si>
    <t xml:space="preserve">Te controla, te priva de libertad</t>
  </si>
  <si>
    <t xml:space="preserve">No te escucha</t>
  </si>
  <si>
    <t xml:space="preserve">Sexo egoísta</t>
  </si>
  <si>
    <t xml:space="preserve">Celos sin motivos</t>
  </si>
  <si>
    <t xml:space="preserve">IRP mejorado — cómo usarlo</t>
  </si>
  <si>
    <t xml:space="preserve">1. En la hoja IRP elegí una respuesta para cada casilla (columna C, celdas amarillas). «No sé» deja la casilla fuera del cálculo.</t>
  </si>
  <si>
    <t xml:space="preserve">2. Si querés darle más o menos importancia a una casilla, cambiá su peso (columna D, por defecto 1; 0 la excluye).</t>
  </si>
  <si>
    <t xml:space="preserve">3. Mirá el resultado a la derecha (columnas K y L). Con una alerta de seguridad no se da lectura global.</t>
  </si>
  <si>
    <t xml:space="preserve">Qué cambió respecto del Excel original</t>
  </si>
  <si>
    <t xml:space="preserve">• Escala real de 0 a 100 (el original iba de 20 a 100).</t>
  </si>
  <si>
    <t xml:space="preserve">• Suman las 51 casillas (el original dejaba 3 sin sumar: Comunicativo, Detallista y Siempre tiene la razón).</t>
  </si>
  <si>
    <t xml:space="preserve">• Existe «No sé» y se informa la cobertura.</t>
  </si>
  <si>
    <t xml:space="preserve">• Alertas de seguridad para violencia, amenazas y control; la lectura global no se da en ese caso.</t>
  </si>
  <si>
    <t xml:space="preserve">• Lectura descriptiva y neutral, sin órdenes ni juicios sobre la persona.</t>
  </si>
  <si>
    <t xml:space="preserve">• Corregida la etiqueta invertida de «Presumir».</t>
  </si>
  <si>
    <t xml:space="preserve">Límites</t>
  </si>
  <si>
    <t xml:space="preserve">Es una autovaloración exploratoria, no una prueba validada. No mide el valor de una persona, no predice el futuro de la relación y no indica qué decisión tomar.</t>
  </si>
  <si>
    <t xml:space="preserve">Basado en la hoja «Índice de Relación de Pareja» de standleymoise (2021). Código MIT / documentación CC BY 4.0: https://github.com/standleymoise/relationship-choice-model</t>
  </si>
  <si>
    <t xml:space="preserve">Posición (0–4)</t>
  </si>
  <si>
    <t xml:space="preserve">Nada de eso</t>
  </si>
  <si>
    <t xml:space="preserve">Muy poco</t>
  </si>
  <si>
    <t xml:space="preserve">Poco</t>
  </si>
  <si>
    <t xml:space="preserve">Normal</t>
  </si>
  <si>
    <t xml:space="preserve">Mucho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</si>
</sst>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General"/>
    <numFmt numFmtId="166" formatCode="0.0"/>
    <numFmt numFmtId="167" formatCode="0%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5"/>
      <name val="Cambria"/>
      <family val="0"/>
      <charset val="1"/>
    </font>
    <font>
      <b val="true"/>
      <sz val="11"/>
      <color rgb="FFFFFFFF"/>
      <name val="Cambria"/>
      <family val="0"/>
      <charset val="1"/>
    </font>
    <font>
      <b val="true"/>
      <sz val="11"/>
      <name val="Cambria"/>
      <family val="0"/>
      <charset val="1"/>
    </font>
    <font>
      <b val="true"/>
      <sz val="14"/>
      <name val="Cambria"/>
      <family val="0"/>
      <charset val="1"/>
    </font>
    <font>
      <b val="true"/>
      <sz val="11"/>
      <color rgb="FF9A2E3C"/>
      <name val="Cambria"/>
      <family val="0"/>
      <charset val="1"/>
    </font>
    <font>
      <b val="true"/>
      <sz val="13"/>
      <name val="Cambria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B5268"/>
        <bgColor rgb="FF333399"/>
      </patternFill>
    </fill>
    <fill>
      <patternFill patternType="solid">
        <fgColor rgb="FFFFF8DC"/>
        <bgColor rgb="FFFFFF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2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5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true" applyAlignment="true" applyProtection="false">
      <alignment horizontal="general" vertical="top" textRotation="0" wrapText="true" indent="0" shrinkToFit="false"/>
      <protection locked="true" hidden="false"/>
    </xf>
    <xf numFmtId="165" fontId="8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ont>
        <b val="1"/>
        <color rgb="FF9C0006"/>
      </font>
      <fill>
        <patternFill>
          <bgColor rgb="FFFFC7CE"/>
        </patternFill>
      </fill>
    </dxf>
    <dxf>
      <fill>
        <patternFill>
          <bgColor rgb="FFFFEB9C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A2E3C"/>
      <rgbColor rgb="FFFFF8D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EB9C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B5268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tint val="100000"/>
                <a:shade val="100000"/>
              </a:schemeClr>
            </a:gs>
            <a:gs pos="100000">
              <a:schemeClr val="phClr">
                <a:tint val="50000"/>
                <a:shade val="100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5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542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38"/>
    <col collapsed="false" customWidth="true" hidden="false" outlineLevel="0" max="3" min="3" style="0" width="16"/>
    <col collapsed="false" customWidth="true" hidden="false" outlineLevel="0" max="4" min="4" style="0" width="8"/>
    <col collapsed="false" customWidth="true" hidden="false" outlineLevel="0" max="5" min="5" style="0" width="14"/>
    <col collapsed="false" customWidth="true" hidden="false" outlineLevel="0" max="6" min="6" style="0" width="22"/>
    <col collapsed="false" customWidth="true" hidden="false" outlineLevel="0" max="7" min="7" style="0" width="11"/>
    <col collapsed="false" customWidth="true" hidden="false" outlineLevel="0" max="8" min="8" style="0" width="10"/>
    <col collapsed="false" customWidth="true" hidden="false" outlineLevel="0" max="9" min="9" style="0" width="11"/>
    <col collapsed="false" customWidth="true" hidden="false" outlineLevel="0" max="11" min="11" style="0" width="34"/>
    <col collapsed="false" customWidth="true" hidden="false" outlineLevel="0" max="12" min="12" style="0" width="46"/>
  </cols>
  <sheetData>
    <row r="1" customFormat="false" ht="1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</row>
    <row r="2" customFormat="false" ht="31.5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</row>
    <row r="4" customFormat="false" ht="30" hidden="false" customHeight="tru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K4" s="4" t="s">
        <v>11</v>
      </c>
      <c r="L4" s="5"/>
    </row>
    <row r="5" customFormat="false" ht="15" hidden="false" customHeight="false" outlineLevel="0" collapsed="false">
      <c r="A5" s="0" t="s">
        <v>12</v>
      </c>
      <c r="B5" s="0" t="s">
        <v>13</v>
      </c>
      <c r="C5" s="6" t="s">
        <v>14</v>
      </c>
      <c r="D5" s="7" t="n">
        <v>1</v>
      </c>
      <c r="E5" s="0" t="str">
        <f aca="false">IF(OR(C5="",C5="No sé"),"",IF($A5="Bueno",(MATCH(C5,Datos!$A$2:$A$6,0)-1)*25,100-(MATCH(C5,Datos!$A$2:$A$6,0)-1)*25))</f>
        <v/>
      </c>
      <c r="F5" s="8" t="str">
        <f aca="false">IF(OR(C5="",C5="No sé"),"",IF(AND(I5="Seguridad",MATCH(C5,Datos!$A$2:$A$6,0)&gt;=2),"ALERTA DE SEGURIDAD",IF(AND(I5="Atención",MATCH(C5,Datos!$A$2:$A$6,0)&gt;=4),"Atención","")))</f>
        <v/>
      </c>
      <c r="G5" s="0" t="str">
        <f aca="false">IF(OR(E5="",D5&lt;=0),"",D5)</f>
        <v/>
      </c>
      <c r="H5" s="0" t="str">
        <f aca="false">IF(G5="","",G5*E5)</f>
        <v/>
      </c>
      <c r="K5" s="9" t="s">
        <v>15</v>
      </c>
      <c r="L5" s="10" t="str">
        <f aca="false">IFERROR(SUMIFS(H5:H55,A5:A55,"Bueno")/SUMIFS(G5:G55,A5:A55,"Bueno"),"")</f>
        <v/>
      </c>
    </row>
    <row r="6" customFormat="false" ht="15" hidden="false" customHeight="false" outlineLevel="0" collapsed="false">
      <c r="A6" s="0" t="s">
        <v>12</v>
      </c>
      <c r="B6" s="0" t="s">
        <v>16</v>
      </c>
      <c r="C6" s="6" t="s">
        <v>14</v>
      </c>
      <c r="D6" s="7" t="n">
        <v>1</v>
      </c>
      <c r="E6" s="0" t="str">
        <f aca="false">IF(OR(C6="",C6="No sé"),"",IF($A6="Bueno",(MATCH(C6,Datos!$A$2:$A$6,0)-1)*25,100-(MATCH(C6,Datos!$A$2:$A$6,0)-1)*25))</f>
        <v/>
      </c>
      <c r="F6" s="8" t="str">
        <f aca="false">IF(OR(C6="",C6="No sé"),"",IF(AND(I6="Seguridad",MATCH(C6,Datos!$A$2:$A$6,0)&gt;=2),"ALERTA DE SEGURIDAD",IF(AND(I6="Atención",MATCH(C6,Datos!$A$2:$A$6,0)&gt;=4),"Atención","")))</f>
        <v/>
      </c>
      <c r="G6" s="0" t="str">
        <f aca="false">IF(OR(E6="",D6&lt;=0),"",D6)</f>
        <v/>
      </c>
      <c r="H6" s="0" t="str">
        <f aca="false">IF(G6="","",G6*E6)</f>
        <v/>
      </c>
      <c r="K6" s="9" t="s">
        <v>17</v>
      </c>
      <c r="L6" s="10" t="str">
        <f aca="false">IFERROR(SUMIFS(H5:H55,A5:A55,"Malo")/SUMIFS(G5:G55,A5:A55,"Malo"),"")</f>
        <v/>
      </c>
    </row>
    <row r="7" customFormat="false" ht="15" hidden="false" customHeight="false" outlineLevel="0" collapsed="false">
      <c r="A7" s="0" t="s">
        <v>12</v>
      </c>
      <c r="B7" s="0" t="s">
        <v>18</v>
      </c>
      <c r="C7" s="6" t="s">
        <v>14</v>
      </c>
      <c r="D7" s="7" t="n">
        <v>1</v>
      </c>
      <c r="E7" s="0" t="str">
        <f aca="false">IF(OR(C7="",C7="No sé"),"",IF($A7="Bueno",(MATCH(C7,Datos!$A$2:$A$6,0)-1)*25,100-(MATCH(C7,Datos!$A$2:$A$6,0)-1)*25))</f>
        <v/>
      </c>
      <c r="F7" s="8" t="str">
        <f aca="false">IF(OR(C7="",C7="No sé"),"",IF(AND(I7="Seguridad",MATCH(C7,Datos!$A$2:$A$6,0)&gt;=2),"ALERTA DE SEGURIDAD",IF(AND(I7="Atención",MATCH(C7,Datos!$A$2:$A$6,0)&gt;=4),"Atención","")))</f>
        <v/>
      </c>
      <c r="G7" s="0" t="str">
        <f aca="false">IF(OR(E7="",D7&lt;=0),"",D7)</f>
        <v/>
      </c>
      <c r="H7" s="0" t="str">
        <f aca="false">IF(G7="","",G7*E7)</f>
        <v/>
      </c>
      <c r="K7" s="9" t="s">
        <v>19</v>
      </c>
      <c r="L7" s="11" t="str">
        <f aca="false">IF(L10&gt;0,"—",IF(AND(COUNTIFS(A5:A55,"Bueno",G5:G55,"&gt;=0")&gt;=13,COUNTIFS(A5:A55,"Malo",G5:G55,"&gt;=0")&gt;=12.5,ISNUMBER(L5),ISNUMBER(L6)),(L5+L6)/2,""))</f>
        <v/>
      </c>
    </row>
    <row r="8" customFormat="false" ht="15" hidden="false" customHeight="false" outlineLevel="0" collapsed="false">
      <c r="A8" s="0" t="s">
        <v>12</v>
      </c>
      <c r="B8" s="0" t="s">
        <v>20</v>
      </c>
      <c r="C8" s="6" t="s">
        <v>14</v>
      </c>
      <c r="D8" s="7" t="n">
        <v>1</v>
      </c>
      <c r="E8" s="0" t="str">
        <f aca="false">IF(OR(C8="",C8="No sé"),"",IF($A8="Bueno",(MATCH(C8,Datos!$A$2:$A$6,0)-1)*25,100-(MATCH(C8,Datos!$A$2:$A$6,0)-1)*25))</f>
        <v/>
      </c>
      <c r="F8" s="8" t="str">
        <f aca="false">IF(OR(C8="",C8="No sé"),"",IF(AND(I8="Seguridad",MATCH(C8,Datos!$A$2:$A$6,0)&gt;=2),"ALERTA DE SEGURIDAD",IF(AND(I8="Atención",MATCH(C8,Datos!$A$2:$A$6,0)&gt;=4),"Atención","")))</f>
        <v/>
      </c>
      <c r="G8" s="0" t="str">
        <f aca="false">IF(OR(E8="",D8&lt;=0),"",D8)</f>
        <v/>
      </c>
      <c r="H8" s="0" t="str">
        <f aca="false">IF(G8="","",G8*E8)</f>
        <v/>
      </c>
      <c r="K8" s="9" t="s">
        <v>21</v>
      </c>
      <c r="L8" s="0" t="str">
        <f aca="false">COUNT(G5:G55)&amp;" / 51"</f>
        <v>0 / 51</v>
      </c>
    </row>
    <row r="9" customFormat="false" ht="15" hidden="false" customHeight="false" outlineLevel="0" collapsed="false">
      <c r="A9" s="0" t="s">
        <v>12</v>
      </c>
      <c r="B9" s="0" t="s">
        <v>22</v>
      </c>
      <c r="C9" s="6" t="s">
        <v>14</v>
      </c>
      <c r="D9" s="7" t="n">
        <v>1</v>
      </c>
      <c r="E9" s="0" t="str">
        <f aca="false">IF(OR(C9="",C9="No sé"),"",IF($A9="Bueno",(MATCH(C9,Datos!$A$2:$A$6,0)-1)*25,100-(MATCH(C9,Datos!$A$2:$A$6,0)-1)*25))</f>
        <v/>
      </c>
      <c r="F9" s="8" t="str">
        <f aca="false">IF(OR(C9="",C9="No sé"),"",IF(AND(I9="Seguridad",MATCH(C9,Datos!$A$2:$A$6,0)&gt;=2),"ALERTA DE SEGURIDAD",IF(AND(I9="Atención",MATCH(C9,Datos!$A$2:$A$6,0)&gt;=4),"Atención","")))</f>
        <v/>
      </c>
      <c r="G9" s="0" t="str">
        <f aca="false">IF(OR(E9="",D9&lt;=0),"",D9)</f>
        <v/>
      </c>
      <c r="H9" s="0" t="str">
        <f aca="false">IF(G9="","",G9*E9)</f>
        <v/>
      </c>
      <c r="K9" s="9" t="s">
        <v>23</v>
      </c>
      <c r="L9" s="12" t="n">
        <f aca="false">COUNT(G5:G55)/51</f>
        <v>0</v>
      </c>
    </row>
    <row r="10" customFormat="false" ht="15" hidden="false" customHeight="false" outlineLevel="0" collapsed="false">
      <c r="A10" s="0" t="s">
        <v>12</v>
      </c>
      <c r="B10" s="0" t="s">
        <v>24</v>
      </c>
      <c r="C10" s="6" t="s">
        <v>14</v>
      </c>
      <c r="D10" s="7" t="n">
        <v>1</v>
      </c>
      <c r="E10" s="0" t="str">
        <f aca="false">IF(OR(C10="",C10="No sé"),"",IF($A10="Bueno",(MATCH(C10,Datos!$A$2:$A$6,0)-1)*25,100-(MATCH(C10,Datos!$A$2:$A$6,0)-1)*25))</f>
        <v/>
      </c>
      <c r="F10" s="8" t="str">
        <f aca="false">IF(OR(C10="",C10="No sé"),"",IF(AND(I10="Seguridad",MATCH(C10,Datos!$A$2:$A$6,0)&gt;=2),"ALERTA DE SEGURIDAD",IF(AND(I10="Atención",MATCH(C10,Datos!$A$2:$A$6,0)&gt;=4),"Atención","")))</f>
        <v/>
      </c>
      <c r="G10" s="0" t="str">
        <f aca="false">IF(OR(E10="",D10&lt;=0),"",D10)</f>
        <v/>
      </c>
      <c r="H10" s="0" t="str">
        <f aca="false">IF(G10="","",G10*E10)</f>
        <v/>
      </c>
      <c r="K10" s="9" t="s">
        <v>25</v>
      </c>
      <c r="L10" s="0" t="n">
        <f aca="false">COUNTIF(F5:F55,"ALERTA DE SEGURIDAD")</f>
        <v>0</v>
      </c>
    </row>
    <row r="11" customFormat="false" ht="15" hidden="false" customHeight="false" outlineLevel="0" collapsed="false">
      <c r="A11" s="0" t="s">
        <v>12</v>
      </c>
      <c r="B11" s="0" t="s">
        <v>26</v>
      </c>
      <c r="C11" s="6" t="s">
        <v>14</v>
      </c>
      <c r="D11" s="7" t="n">
        <v>1</v>
      </c>
      <c r="E11" s="0" t="str">
        <f aca="false">IF(OR(C11="",C11="No sé"),"",IF($A11="Bueno",(MATCH(C11,Datos!$A$2:$A$6,0)-1)*25,100-(MATCH(C11,Datos!$A$2:$A$6,0)-1)*25))</f>
        <v/>
      </c>
      <c r="F11" s="8" t="str">
        <f aca="false">IF(OR(C11="",C11="No sé"),"",IF(AND(I11="Seguridad",MATCH(C11,Datos!$A$2:$A$6,0)&gt;=2),"ALERTA DE SEGURIDAD",IF(AND(I11="Atención",MATCH(C11,Datos!$A$2:$A$6,0)&gt;=4),"Atención","")))</f>
        <v/>
      </c>
      <c r="G11" s="0" t="str">
        <f aca="false">IF(OR(E11="",D11&lt;=0),"",D11)</f>
        <v/>
      </c>
      <c r="H11" s="0" t="str">
        <f aca="false">IF(G11="","",G11*E11)</f>
        <v/>
      </c>
      <c r="K11" s="9" t="s">
        <v>27</v>
      </c>
      <c r="L11" s="0" t="n">
        <f aca="false">COUNTIF(F5:F55,"Atención")</f>
        <v>0</v>
      </c>
    </row>
    <row r="12" customFormat="false" ht="15" hidden="false" customHeight="false" outlineLevel="0" collapsed="false">
      <c r="A12" s="0" t="s">
        <v>12</v>
      </c>
      <c r="B12" s="0" t="s">
        <v>28</v>
      </c>
      <c r="C12" s="6" t="s">
        <v>14</v>
      </c>
      <c r="D12" s="7" t="n">
        <v>1</v>
      </c>
      <c r="E12" s="0" t="str">
        <f aca="false">IF(OR(C12="",C12="No sé"),"",IF($A12="Bueno",(MATCH(C12,Datos!$A$2:$A$6,0)-1)*25,100-(MATCH(C12,Datos!$A$2:$A$6,0)-1)*25))</f>
        <v/>
      </c>
      <c r="F12" s="8" t="str">
        <f aca="false">IF(OR(C12="",C12="No sé"),"",IF(AND(I12="Seguridad",MATCH(C12,Datos!$A$2:$A$6,0)&gt;=2),"ALERTA DE SEGURIDAD",IF(AND(I12="Atención",MATCH(C12,Datos!$A$2:$A$6,0)&gt;=4),"Atención","")))</f>
        <v/>
      </c>
      <c r="G12" s="0" t="str">
        <f aca="false">IF(OR(E12="",D12&lt;=0),"",D12)</f>
        <v/>
      </c>
      <c r="H12" s="0" t="str">
        <f aca="false">IF(G12="","",G12*E12)</f>
        <v/>
      </c>
      <c r="K12" s="9" t="s">
        <v>29</v>
      </c>
      <c r="L12" s="13" t="str">
        <f aca="false">IF(L7="","Respondé al menos la mitad de cada lista para ver el índice.",IF(L10&gt;0,"Hay una alerta de seguridad: el promedio no se interpreta (ver aviso abajo).",IF(L7&gt;=85,"Predominan los aspectos positivos en tus respuestas.",IF(L7&gt;=70,"Mayormente positivo, con algunos aspectos a mejorar.",IF(L7&gt;=55,"Panorama mixto: conviven aspectos positivos y problemáticos.",IF(L7&gt;=40,"Predominan los aspectos problemáticos en tus respuestas.","Tus respuestas señalan muchos aspectos problemáticos."))))))</f>
        <v>Respondé al menos la mitad de cada lista para ver el índice.</v>
      </c>
    </row>
    <row r="13" customFormat="false" ht="15" hidden="false" customHeight="false" outlineLevel="0" collapsed="false">
      <c r="A13" s="0" t="s">
        <v>12</v>
      </c>
      <c r="B13" s="0" t="s">
        <v>30</v>
      </c>
      <c r="C13" s="6" t="s">
        <v>14</v>
      </c>
      <c r="D13" s="7" t="n">
        <v>1</v>
      </c>
      <c r="E13" s="0" t="str">
        <f aca="false">IF(OR(C13="",C13="No sé"),"",IF($A13="Bueno",(MATCH(C13,Datos!$A$2:$A$6,0)-1)*25,100-(MATCH(C13,Datos!$A$2:$A$6,0)-1)*25))</f>
        <v/>
      </c>
      <c r="F13" s="8" t="str">
        <f aca="false">IF(OR(C13="",C13="No sé"),"",IF(AND(I13="Seguridad",MATCH(C13,Datos!$A$2:$A$6,0)&gt;=2),"ALERTA DE SEGURIDAD",IF(AND(I13="Atención",MATCH(C13,Datos!$A$2:$A$6,0)&gt;=4),"Atención","")))</f>
        <v/>
      </c>
      <c r="G13" s="0" t="str">
        <f aca="false">IF(OR(E13="",D13&lt;=0),"",D13)</f>
        <v/>
      </c>
      <c r="H13" s="0" t="str">
        <f aca="false">IF(G13="","",G13*E13)</f>
        <v/>
      </c>
      <c r="L13" s="13"/>
    </row>
    <row r="14" customFormat="false" ht="15" hidden="false" customHeight="false" outlineLevel="0" collapsed="false">
      <c r="A14" s="0" t="s">
        <v>12</v>
      </c>
      <c r="B14" s="0" t="s">
        <v>31</v>
      </c>
      <c r="C14" s="6" t="s">
        <v>14</v>
      </c>
      <c r="D14" s="7" t="n">
        <v>1</v>
      </c>
      <c r="E14" s="0" t="str">
        <f aca="false">IF(OR(C14="",C14="No sé"),"",IF($A14="Bueno",(MATCH(C14,Datos!$A$2:$A$6,0)-1)*25,100-(MATCH(C14,Datos!$A$2:$A$6,0)-1)*25))</f>
        <v/>
      </c>
      <c r="F14" s="8" t="str">
        <f aca="false">IF(OR(C14="",C14="No sé"),"",IF(AND(I14="Seguridad",MATCH(C14,Datos!$A$2:$A$6,0)&gt;=2),"ALERTA DE SEGURIDAD",IF(AND(I14="Atención",MATCH(C14,Datos!$A$2:$A$6,0)&gt;=4),"Atención","")))</f>
        <v/>
      </c>
      <c r="G14" s="0" t="str">
        <f aca="false">IF(OR(E14="",D14&lt;=0),"",D14)</f>
        <v/>
      </c>
      <c r="H14" s="0" t="str">
        <f aca="false">IF(G14="","",G14*E14)</f>
        <v/>
      </c>
      <c r="L14" s="13"/>
    </row>
    <row r="15" customFormat="false" ht="15" hidden="false" customHeight="false" outlineLevel="0" collapsed="false">
      <c r="A15" s="0" t="s">
        <v>12</v>
      </c>
      <c r="B15" s="0" t="s">
        <v>32</v>
      </c>
      <c r="C15" s="6" t="s">
        <v>14</v>
      </c>
      <c r="D15" s="7" t="n">
        <v>1</v>
      </c>
      <c r="E15" s="0" t="str">
        <f aca="false">IF(OR(C15="",C15="No sé"),"",IF($A15="Bueno",(MATCH(C15,Datos!$A$2:$A$6,0)-1)*25,100-(MATCH(C15,Datos!$A$2:$A$6,0)-1)*25))</f>
        <v/>
      </c>
      <c r="F15" s="8" t="str">
        <f aca="false">IF(OR(C15="",C15="No sé"),"",IF(AND(I15="Seguridad",MATCH(C15,Datos!$A$2:$A$6,0)&gt;=2),"ALERTA DE SEGURIDAD",IF(AND(I15="Atención",MATCH(C15,Datos!$A$2:$A$6,0)&gt;=4),"Atención","")))</f>
        <v/>
      </c>
      <c r="G15" s="0" t="str">
        <f aca="false">IF(OR(E15="",D15&lt;=0),"",D15)</f>
        <v/>
      </c>
      <c r="H15" s="0" t="str">
        <f aca="false">IF(G15="","",G15*E15)</f>
        <v/>
      </c>
      <c r="L15" s="13"/>
    </row>
    <row r="16" customFormat="false" ht="15" hidden="false" customHeight="false" outlineLevel="0" collapsed="false">
      <c r="A16" s="0" t="s">
        <v>12</v>
      </c>
      <c r="B16" s="0" t="s">
        <v>33</v>
      </c>
      <c r="C16" s="6" t="s">
        <v>14</v>
      </c>
      <c r="D16" s="7" t="n">
        <v>1</v>
      </c>
      <c r="E16" s="0" t="str">
        <f aca="false">IF(OR(C16="",C16="No sé"),"",IF($A16="Bueno",(MATCH(C16,Datos!$A$2:$A$6,0)-1)*25,100-(MATCH(C16,Datos!$A$2:$A$6,0)-1)*25))</f>
        <v/>
      </c>
      <c r="F16" s="8" t="str">
        <f aca="false">IF(OR(C16="",C16="No sé"),"",IF(AND(I16="Seguridad",MATCH(C16,Datos!$A$2:$A$6,0)&gt;=2),"ALERTA DE SEGURIDAD",IF(AND(I16="Atención",MATCH(C16,Datos!$A$2:$A$6,0)&gt;=4),"Atención","")))</f>
        <v/>
      </c>
      <c r="G16" s="0" t="str">
        <f aca="false">IF(OR(E16="",D16&lt;=0),"",D16)</f>
        <v/>
      </c>
      <c r="H16" s="0" t="str">
        <f aca="false">IF(G16="","",G16*E16)</f>
        <v/>
      </c>
    </row>
    <row r="17" customFormat="false" ht="15" hidden="false" customHeight="false" outlineLevel="0" collapsed="false">
      <c r="A17" s="0" t="s">
        <v>12</v>
      </c>
      <c r="B17" s="0" t="s">
        <v>34</v>
      </c>
      <c r="C17" s="6" t="s">
        <v>14</v>
      </c>
      <c r="D17" s="7" t="n">
        <v>1</v>
      </c>
      <c r="E17" s="0" t="str">
        <f aca="false">IF(OR(C17="",C17="No sé"),"",IF($A17="Bueno",(MATCH(C17,Datos!$A$2:$A$6,0)-1)*25,100-(MATCH(C17,Datos!$A$2:$A$6,0)-1)*25))</f>
        <v/>
      </c>
      <c r="F17" s="8" t="str">
        <f aca="false">IF(OR(C17="",C17="No sé"),"",IF(AND(I17="Seguridad",MATCH(C17,Datos!$A$2:$A$6,0)&gt;=2),"ALERTA DE SEGURIDAD",IF(AND(I17="Atención",MATCH(C17,Datos!$A$2:$A$6,0)&gt;=4),"Atención","")))</f>
        <v/>
      </c>
      <c r="G17" s="0" t="str">
        <f aca="false">IF(OR(E17="",D17&lt;=0),"",D17)</f>
        <v/>
      </c>
      <c r="H17" s="0" t="str">
        <f aca="false">IF(G17="","",G17*E17)</f>
        <v/>
      </c>
      <c r="K17" s="14" t="str">
        <f aca="false">IF(L10&gt;0,"ALERTA: violencia, amenazas o control no se «compensan» con otros aspectos positivos, por eso no se da una lectura global. Si sentís miedo o estás en peligro, buscá ayuda de los servicios de emergencia o de organizaciones de apoyo a víctimas de violencia de tu país.","")</f>
        <v/>
      </c>
      <c r="L17" s="14"/>
    </row>
    <row r="18" customFormat="false" ht="15" hidden="false" customHeight="false" outlineLevel="0" collapsed="false">
      <c r="A18" s="0" t="s">
        <v>12</v>
      </c>
      <c r="B18" s="0" t="s">
        <v>35</v>
      </c>
      <c r="C18" s="6" t="s">
        <v>14</v>
      </c>
      <c r="D18" s="7" t="n">
        <v>1</v>
      </c>
      <c r="E18" s="0" t="str">
        <f aca="false">IF(OR(C18="",C18="No sé"),"",IF($A18="Bueno",(MATCH(C18,Datos!$A$2:$A$6,0)-1)*25,100-(MATCH(C18,Datos!$A$2:$A$6,0)-1)*25))</f>
        <v/>
      </c>
      <c r="F18" s="8" t="str">
        <f aca="false">IF(OR(C18="",C18="No sé"),"",IF(AND(I18="Seguridad",MATCH(C18,Datos!$A$2:$A$6,0)&gt;=2),"ALERTA DE SEGURIDAD",IF(AND(I18="Atención",MATCH(C18,Datos!$A$2:$A$6,0)&gt;=4),"Atención","")))</f>
        <v/>
      </c>
      <c r="G18" s="0" t="str">
        <f aca="false">IF(OR(E18="",D18&lt;=0),"",D18)</f>
        <v/>
      </c>
      <c r="H18" s="0" t="str">
        <f aca="false">IF(G18="","",G18*E18)</f>
        <v/>
      </c>
      <c r="K18" s="14"/>
      <c r="L18" s="14"/>
    </row>
    <row r="19" customFormat="false" ht="15" hidden="false" customHeight="false" outlineLevel="0" collapsed="false">
      <c r="A19" s="0" t="s">
        <v>12</v>
      </c>
      <c r="B19" s="0" t="s">
        <v>36</v>
      </c>
      <c r="C19" s="6" t="s">
        <v>14</v>
      </c>
      <c r="D19" s="7" t="n">
        <v>1</v>
      </c>
      <c r="E19" s="0" t="str">
        <f aca="false">IF(OR(C19="",C19="No sé"),"",IF($A19="Bueno",(MATCH(C19,Datos!$A$2:$A$6,0)-1)*25,100-(MATCH(C19,Datos!$A$2:$A$6,0)-1)*25))</f>
        <v/>
      </c>
      <c r="F19" s="8" t="str">
        <f aca="false">IF(OR(C19="",C19="No sé"),"",IF(AND(I19="Seguridad",MATCH(C19,Datos!$A$2:$A$6,0)&gt;=2),"ALERTA DE SEGURIDAD",IF(AND(I19="Atención",MATCH(C19,Datos!$A$2:$A$6,0)&gt;=4),"Atención","")))</f>
        <v/>
      </c>
      <c r="G19" s="0" t="str">
        <f aca="false">IF(OR(E19="",D19&lt;=0),"",D19)</f>
        <v/>
      </c>
      <c r="H19" s="0" t="str">
        <f aca="false">IF(G19="","",G19*E19)</f>
        <v/>
      </c>
      <c r="K19" s="14"/>
      <c r="L19" s="14"/>
    </row>
    <row r="20" customFormat="false" ht="15" hidden="false" customHeight="false" outlineLevel="0" collapsed="false">
      <c r="A20" s="0" t="s">
        <v>12</v>
      </c>
      <c r="B20" s="0" t="s">
        <v>37</v>
      </c>
      <c r="C20" s="6" t="s">
        <v>14</v>
      </c>
      <c r="D20" s="7" t="n">
        <v>1</v>
      </c>
      <c r="E20" s="0" t="str">
        <f aca="false">IF(OR(C20="",C20="No sé"),"",IF($A20="Bueno",(MATCH(C20,Datos!$A$2:$A$6,0)-1)*25,100-(MATCH(C20,Datos!$A$2:$A$6,0)-1)*25))</f>
        <v/>
      </c>
      <c r="F20" s="8" t="str">
        <f aca="false">IF(OR(C20="",C20="No sé"),"",IF(AND(I20="Seguridad",MATCH(C20,Datos!$A$2:$A$6,0)&gt;=2),"ALERTA DE SEGURIDAD",IF(AND(I20="Atención",MATCH(C20,Datos!$A$2:$A$6,0)&gt;=4),"Atención","")))</f>
        <v/>
      </c>
      <c r="G20" s="0" t="str">
        <f aca="false">IF(OR(E20="",D20&lt;=0),"",D20)</f>
        <v/>
      </c>
      <c r="H20" s="0" t="str">
        <f aca="false">IF(G20="","",G20*E20)</f>
        <v/>
      </c>
      <c r="K20" s="14"/>
      <c r="L20" s="14"/>
    </row>
    <row r="21" customFormat="false" ht="15" hidden="false" customHeight="false" outlineLevel="0" collapsed="false">
      <c r="A21" s="0" t="s">
        <v>12</v>
      </c>
      <c r="B21" s="0" t="s">
        <v>38</v>
      </c>
      <c r="C21" s="6" t="s">
        <v>14</v>
      </c>
      <c r="D21" s="7" t="n">
        <v>1</v>
      </c>
      <c r="E21" s="0" t="str">
        <f aca="false">IF(OR(C21="",C21="No sé"),"",IF($A21="Bueno",(MATCH(C21,Datos!$A$2:$A$6,0)-1)*25,100-(MATCH(C21,Datos!$A$2:$A$6,0)-1)*25))</f>
        <v/>
      </c>
      <c r="F21" s="8" t="str">
        <f aca="false">IF(OR(C21="",C21="No sé"),"",IF(AND(I21="Seguridad",MATCH(C21,Datos!$A$2:$A$6,0)&gt;=2),"ALERTA DE SEGURIDAD",IF(AND(I21="Atención",MATCH(C21,Datos!$A$2:$A$6,0)&gt;=4),"Atención","")))</f>
        <v/>
      </c>
      <c r="G21" s="0" t="str">
        <f aca="false">IF(OR(E21="",D21&lt;=0),"",D21)</f>
        <v/>
      </c>
      <c r="H21" s="0" t="str">
        <f aca="false">IF(G21="","",G21*E21)</f>
        <v/>
      </c>
    </row>
    <row r="22" customFormat="false" ht="15" hidden="false" customHeight="true" outlineLevel="0" collapsed="false">
      <c r="A22" s="0" t="s">
        <v>12</v>
      </c>
      <c r="B22" s="0" t="s">
        <v>39</v>
      </c>
      <c r="C22" s="6" t="s">
        <v>14</v>
      </c>
      <c r="D22" s="7" t="n">
        <v>1</v>
      </c>
      <c r="E22" s="0" t="str">
        <f aca="false">IF(OR(C22="",C22="No sé"),"",IF($A22="Bueno",(MATCH(C22,Datos!$A$2:$A$6,0)-1)*25,100-(MATCH(C22,Datos!$A$2:$A$6,0)-1)*25))</f>
        <v/>
      </c>
      <c r="F22" s="8" t="str">
        <f aca="false">IF(OR(C22="",C22="No sé"),"",IF(AND(I22="Seguridad",MATCH(C22,Datos!$A$2:$A$6,0)&gt;=2),"ALERTA DE SEGURIDAD",IF(AND(I22="Atención",MATCH(C22,Datos!$A$2:$A$6,0)&gt;=4),"Atención","")))</f>
        <v/>
      </c>
      <c r="G22" s="0" t="str">
        <f aca="false">IF(OR(E22="",D22&lt;=0),"",D22)</f>
        <v/>
      </c>
      <c r="H22" s="0" t="str">
        <f aca="false">IF(G22="","",G22*E22)</f>
        <v/>
      </c>
      <c r="K22" s="2" t="s">
        <v>40</v>
      </c>
      <c r="L22" s="2"/>
    </row>
    <row r="23" customFormat="false" ht="15" hidden="false" customHeight="false" outlineLevel="0" collapsed="false">
      <c r="A23" s="0" t="s">
        <v>12</v>
      </c>
      <c r="B23" s="0" t="s">
        <v>41</v>
      </c>
      <c r="C23" s="6" t="s">
        <v>14</v>
      </c>
      <c r="D23" s="7" t="n">
        <v>1</v>
      </c>
      <c r="E23" s="0" t="str">
        <f aca="false">IF(OR(C23="",C23="No sé"),"",IF($A23="Bueno",(MATCH(C23,Datos!$A$2:$A$6,0)-1)*25,100-(MATCH(C23,Datos!$A$2:$A$6,0)-1)*25))</f>
        <v/>
      </c>
      <c r="F23" s="8" t="str">
        <f aca="false">IF(OR(C23="",C23="No sé"),"",IF(AND(I23="Seguridad",MATCH(C23,Datos!$A$2:$A$6,0)&gt;=2),"ALERTA DE SEGURIDAD",IF(AND(I23="Atención",MATCH(C23,Datos!$A$2:$A$6,0)&gt;=4),"Atención","")))</f>
        <v/>
      </c>
      <c r="G23" s="0" t="str">
        <f aca="false">IF(OR(E23="",D23&lt;=0),"",D23)</f>
        <v/>
      </c>
      <c r="H23" s="0" t="str">
        <f aca="false">IF(G23="","",G23*E23)</f>
        <v/>
      </c>
      <c r="K23" s="2"/>
      <c r="L23" s="2"/>
    </row>
    <row r="24" customFormat="false" ht="15" hidden="false" customHeight="false" outlineLevel="0" collapsed="false">
      <c r="A24" s="0" t="s">
        <v>12</v>
      </c>
      <c r="B24" s="0" t="s">
        <v>42</v>
      </c>
      <c r="C24" s="6" t="s">
        <v>14</v>
      </c>
      <c r="D24" s="7" t="n">
        <v>1</v>
      </c>
      <c r="E24" s="0" t="str">
        <f aca="false">IF(OR(C24="",C24="No sé"),"",IF($A24="Bueno",(MATCH(C24,Datos!$A$2:$A$6,0)-1)*25,100-(MATCH(C24,Datos!$A$2:$A$6,0)-1)*25))</f>
        <v/>
      </c>
      <c r="F24" s="8" t="str">
        <f aca="false">IF(OR(C24="",C24="No sé"),"",IF(AND(I24="Seguridad",MATCH(C24,Datos!$A$2:$A$6,0)&gt;=2),"ALERTA DE SEGURIDAD",IF(AND(I24="Atención",MATCH(C24,Datos!$A$2:$A$6,0)&gt;=4),"Atención","")))</f>
        <v/>
      </c>
      <c r="G24" s="0" t="str">
        <f aca="false">IF(OR(E24="",D24&lt;=0),"",D24)</f>
        <v/>
      </c>
      <c r="H24" s="0" t="str">
        <f aca="false">IF(G24="","",G24*E24)</f>
        <v/>
      </c>
      <c r="K24" s="2"/>
      <c r="L24" s="2"/>
    </row>
    <row r="25" customFormat="false" ht="15" hidden="false" customHeight="false" outlineLevel="0" collapsed="false">
      <c r="A25" s="0" t="s">
        <v>12</v>
      </c>
      <c r="B25" s="0" t="s">
        <v>43</v>
      </c>
      <c r="C25" s="6" t="s">
        <v>14</v>
      </c>
      <c r="D25" s="7" t="n">
        <v>1</v>
      </c>
      <c r="E25" s="0" t="str">
        <f aca="false">IF(OR(C25="",C25="No sé"),"",IF($A25="Bueno",(MATCH(C25,Datos!$A$2:$A$6,0)-1)*25,100-(MATCH(C25,Datos!$A$2:$A$6,0)-1)*25))</f>
        <v/>
      </c>
      <c r="F25" s="8" t="str">
        <f aca="false">IF(OR(C25="",C25="No sé"),"",IF(AND(I25="Seguridad",MATCH(C25,Datos!$A$2:$A$6,0)&gt;=2),"ALERTA DE SEGURIDAD",IF(AND(I25="Atención",MATCH(C25,Datos!$A$2:$A$6,0)&gt;=4),"Atención","")))</f>
        <v/>
      </c>
      <c r="G25" s="0" t="str">
        <f aca="false">IF(OR(E25="",D25&lt;=0),"",D25)</f>
        <v/>
      </c>
      <c r="H25" s="0" t="str">
        <f aca="false">IF(G25="","",G25*E25)</f>
        <v/>
      </c>
      <c r="K25" s="2"/>
      <c r="L25" s="2"/>
    </row>
    <row r="26" customFormat="false" ht="15" hidden="false" customHeight="false" outlineLevel="0" collapsed="false">
      <c r="A26" s="0" t="s">
        <v>12</v>
      </c>
      <c r="B26" s="0" t="s">
        <v>44</v>
      </c>
      <c r="C26" s="6" t="s">
        <v>14</v>
      </c>
      <c r="D26" s="7" t="n">
        <v>1</v>
      </c>
      <c r="E26" s="0" t="str">
        <f aca="false">IF(OR(C26="",C26="No sé"),"",IF($A26="Bueno",(MATCH(C26,Datos!$A$2:$A$6,0)-1)*25,100-(MATCH(C26,Datos!$A$2:$A$6,0)-1)*25))</f>
        <v/>
      </c>
      <c r="F26" s="8" t="str">
        <f aca="false">IF(OR(C26="",C26="No sé"),"",IF(AND(I26="Seguridad",MATCH(C26,Datos!$A$2:$A$6,0)&gt;=2),"ALERTA DE SEGURIDAD",IF(AND(I26="Atención",MATCH(C26,Datos!$A$2:$A$6,0)&gt;=4),"Atención","")))</f>
        <v/>
      </c>
      <c r="G26" s="0" t="str">
        <f aca="false">IF(OR(E26="",D26&lt;=0),"",D26)</f>
        <v/>
      </c>
      <c r="H26" s="0" t="str">
        <f aca="false">IF(G26="","",G26*E26)</f>
        <v/>
      </c>
      <c r="K26" s="2"/>
      <c r="L26" s="2"/>
    </row>
    <row r="27" customFormat="false" ht="15" hidden="false" customHeight="false" outlineLevel="0" collapsed="false">
      <c r="A27" s="0" t="s">
        <v>12</v>
      </c>
      <c r="B27" s="0" t="s">
        <v>45</v>
      </c>
      <c r="C27" s="6" t="s">
        <v>14</v>
      </c>
      <c r="D27" s="7" t="n">
        <v>1</v>
      </c>
      <c r="E27" s="0" t="str">
        <f aca="false">IF(OR(C27="",C27="No sé"),"",IF($A27="Bueno",(MATCH(C27,Datos!$A$2:$A$6,0)-1)*25,100-(MATCH(C27,Datos!$A$2:$A$6,0)-1)*25))</f>
        <v/>
      </c>
      <c r="F27" s="8" t="str">
        <f aca="false">IF(OR(C27="",C27="No sé"),"",IF(AND(I27="Seguridad",MATCH(C27,Datos!$A$2:$A$6,0)&gt;=2),"ALERTA DE SEGURIDAD",IF(AND(I27="Atención",MATCH(C27,Datos!$A$2:$A$6,0)&gt;=4),"Atención","")))</f>
        <v/>
      </c>
      <c r="G27" s="0" t="str">
        <f aca="false">IF(OR(E27="",D27&lt;=0),"",D27)</f>
        <v/>
      </c>
      <c r="H27" s="0" t="str">
        <f aca="false">IF(G27="","",G27*E27)</f>
        <v/>
      </c>
      <c r="K27" s="2"/>
      <c r="L27" s="2"/>
    </row>
    <row r="28" customFormat="false" ht="15" hidden="false" customHeight="false" outlineLevel="0" collapsed="false">
      <c r="A28" s="0" t="s">
        <v>12</v>
      </c>
      <c r="B28" s="0" t="s">
        <v>46</v>
      </c>
      <c r="C28" s="6" t="s">
        <v>14</v>
      </c>
      <c r="D28" s="7" t="n">
        <v>1</v>
      </c>
      <c r="E28" s="0" t="str">
        <f aca="false">IF(OR(C28="",C28="No sé"),"",IF($A28="Bueno",(MATCH(C28,Datos!$A$2:$A$6,0)-1)*25,100-(MATCH(C28,Datos!$A$2:$A$6,0)-1)*25))</f>
        <v/>
      </c>
      <c r="F28" s="8" t="str">
        <f aca="false">IF(OR(C28="",C28="No sé"),"",IF(AND(I28="Seguridad",MATCH(C28,Datos!$A$2:$A$6,0)&gt;=2),"ALERTA DE SEGURIDAD",IF(AND(I28="Atención",MATCH(C28,Datos!$A$2:$A$6,0)&gt;=4),"Atención","")))</f>
        <v/>
      </c>
      <c r="G28" s="0" t="str">
        <f aca="false">IF(OR(E28="",D28&lt;=0),"",D28)</f>
        <v/>
      </c>
      <c r="H28" s="0" t="str">
        <f aca="false">IF(G28="","",G28*E28)</f>
        <v/>
      </c>
      <c r="K28" s="2"/>
      <c r="L28" s="2"/>
    </row>
    <row r="29" customFormat="false" ht="15" hidden="false" customHeight="false" outlineLevel="0" collapsed="false">
      <c r="A29" s="0" t="s">
        <v>12</v>
      </c>
      <c r="B29" s="0" t="s">
        <v>47</v>
      </c>
      <c r="C29" s="6" t="s">
        <v>14</v>
      </c>
      <c r="D29" s="7" t="n">
        <v>1</v>
      </c>
      <c r="E29" s="0" t="str">
        <f aca="false">IF(OR(C29="",C29="No sé"),"",IF($A29="Bueno",(MATCH(C29,Datos!$A$2:$A$6,0)-1)*25,100-(MATCH(C29,Datos!$A$2:$A$6,0)-1)*25))</f>
        <v/>
      </c>
      <c r="F29" s="8" t="str">
        <f aca="false">IF(OR(C29="",C29="No sé"),"",IF(AND(I29="Seguridad",MATCH(C29,Datos!$A$2:$A$6,0)&gt;=2),"ALERTA DE SEGURIDAD",IF(AND(I29="Atención",MATCH(C29,Datos!$A$2:$A$6,0)&gt;=4),"Atención","")))</f>
        <v/>
      </c>
      <c r="G29" s="0" t="str">
        <f aca="false">IF(OR(E29="",D29&lt;=0),"",D29)</f>
        <v/>
      </c>
      <c r="H29" s="0" t="str">
        <f aca="false">IF(G29="","",G29*E29)</f>
        <v/>
      </c>
    </row>
    <row r="30" customFormat="false" ht="15" hidden="false" customHeight="false" outlineLevel="0" collapsed="false">
      <c r="A30" s="0" t="s">
        <v>12</v>
      </c>
      <c r="B30" s="0" t="s">
        <v>48</v>
      </c>
      <c r="C30" s="6" t="s">
        <v>14</v>
      </c>
      <c r="D30" s="7" t="n">
        <v>1</v>
      </c>
      <c r="E30" s="0" t="str">
        <f aca="false">IF(OR(C30="",C30="No sé"),"",IF($A30="Bueno",(MATCH(C30,Datos!$A$2:$A$6,0)-1)*25,100-(MATCH(C30,Datos!$A$2:$A$6,0)-1)*25))</f>
        <v/>
      </c>
      <c r="F30" s="8" t="str">
        <f aca="false">IF(OR(C30="",C30="No sé"),"",IF(AND(I30="Seguridad",MATCH(C30,Datos!$A$2:$A$6,0)&gt;=2),"ALERTA DE SEGURIDAD",IF(AND(I30="Atención",MATCH(C30,Datos!$A$2:$A$6,0)&gt;=4),"Atención","")))</f>
        <v/>
      </c>
      <c r="G30" s="0" t="str">
        <f aca="false">IF(OR(E30="",D30&lt;=0),"",D30)</f>
        <v/>
      </c>
      <c r="H30" s="0" t="str">
        <f aca="false">IF(G30="","",G30*E30)</f>
        <v/>
      </c>
    </row>
    <row r="31" customFormat="false" ht="15" hidden="false" customHeight="false" outlineLevel="0" collapsed="false">
      <c r="A31" s="0" t="s">
        <v>49</v>
      </c>
      <c r="B31" s="0" t="s">
        <v>50</v>
      </c>
      <c r="C31" s="6" t="s">
        <v>14</v>
      </c>
      <c r="D31" s="7" t="n">
        <v>1</v>
      </c>
      <c r="E31" s="0" t="str">
        <f aca="false">IF(OR(C31="",C31="No sé"),"",IF($A31="Bueno",(MATCH(C31,Datos!$A$2:$A$6,0)-1)*25,100-(MATCH(C31,Datos!$A$2:$A$6,0)-1)*25))</f>
        <v/>
      </c>
      <c r="F31" s="8" t="str">
        <f aca="false">IF(OR(C31="",C31="No sé"),"",IF(AND(I31="Seguridad",MATCH(C31,Datos!$A$2:$A$6,0)&gt;=2),"ALERTA DE SEGURIDAD",IF(AND(I31="Atención",MATCH(C31,Datos!$A$2:$A$6,0)&gt;=4),"Atención","")))</f>
        <v/>
      </c>
      <c r="G31" s="0" t="str">
        <f aca="false">IF(OR(E31="",D31&lt;=0),"",D31)</f>
        <v/>
      </c>
      <c r="H31" s="0" t="str">
        <f aca="false">IF(G31="","",G31*E31)</f>
        <v/>
      </c>
    </row>
    <row r="32" customFormat="false" ht="15" hidden="false" customHeight="false" outlineLevel="0" collapsed="false">
      <c r="A32" s="0" t="s">
        <v>49</v>
      </c>
      <c r="B32" s="0" t="s">
        <v>51</v>
      </c>
      <c r="C32" s="6" t="s">
        <v>14</v>
      </c>
      <c r="D32" s="7" t="n">
        <v>1</v>
      </c>
      <c r="E32" s="0" t="str">
        <f aca="false">IF(OR(C32="",C32="No sé"),"",IF($A32="Bueno",(MATCH(C32,Datos!$A$2:$A$6,0)-1)*25,100-(MATCH(C32,Datos!$A$2:$A$6,0)-1)*25))</f>
        <v/>
      </c>
      <c r="F32" s="8" t="str">
        <f aca="false">IF(OR(C32="",C32="No sé"),"",IF(AND(I32="Seguridad",MATCH(C32,Datos!$A$2:$A$6,0)&gt;=2),"ALERTA DE SEGURIDAD",IF(AND(I32="Atención",MATCH(C32,Datos!$A$2:$A$6,0)&gt;=4),"Atención","")))</f>
        <v/>
      </c>
      <c r="G32" s="0" t="str">
        <f aca="false">IF(OR(E32="",D32&lt;=0),"",D32)</f>
        <v/>
      </c>
      <c r="H32" s="0" t="str">
        <f aca="false">IF(G32="","",G32*E32)</f>
        <v/>
      </c>
    </row>
    <row r="33" customFormat="false" ht="15" hidden="false" customHeight="false" outlineLevel="0" collapsed="false">
      <c r="A33" s="0" t="s">
        <v>49</v>
      </c>
      <c r="B33" s="0" t="s">
        <v>52</v>
      </c>
      <c r="C33" s="6" t="s">
        <v>14</v>
      </c>
      <c r="D33" s="7" t="n">
        <v>1</v>
      </c>
      <c r="E33" s="0" t="str">
        <f aca="false">IF(OR(C33="",C33="No sé"),"",IF($A33="Bueno",(MATCH(C33,Datos!$A$2:$A$6,0)-1)*25,100-(MATCH(C33,Datos!$A$2:$A$6,0)-1)*25))</f>
        <v/>
      </c>
      <c r="F33" s="8" t="str">
        <f aca="false">IF(OR(C33="",C33="No sé"),"",IF(AND(I33="Seguridad",MATCH(C33,Datos!$A$2:$A$6,0)&gt;=2),"ALERTA DE SEGURIDAD",IF(AND(I33="Atención",MATCH(C33,Datos!$A$2:$A$6,0)&gt;=4),"Atención","")))</f>
        <v/>
      </c>
      <c r="G33" s="0" t="str">
        <f aca="false">IF(OR(E33="",D33&lt;=0),"",D33)</f>
        <v/>
      </c>
      <c r="H33" s="0" t="str">
        <f aca="false">IF(G33="","",G33*E33)</f>
        <v/>
      </c>
    </row>
    <row r="34" customFormat="false" ht="15" hidden="false" customHeight="false" outlineLevel="0" collapsed="false">
      <c r="A34" s="0" t="s">
        <v>49</v>
      </c>
      <c r="B34" s="0" t="s">
        <v>53</v>
      </c>
      <c r="C34" s="6" t="s">
        <v>14</v>
      </c>
      <c r="D34" s="7" t="n">
        <v>1</v>
      </c>
      <c r="E34" s="0" t="str">
        <f aca="false">IF(OR(C34="",C34="No sé"),"",IF($A34="Bueno",(MATCH(C34,Datos!$A$2:$A$6,0)-1)*25,100-(MATCH(C34,Datos!$A$2:$A$6,0)-1)*25))</f>
        <v/>
      </c>
      <c r="F34" s="8" t="str">
        <f aca="false">IF(OR(C34="",C34="No sé"),"",IF(AND(I34="Seguridad",MATCH(C34,Datos!$A$2:$A$6,0)&gt;=2),"ALERTA DE SEGURIDAD",IF(AND(I34="Atención",MATCH(C34,Datos!$A$2:$A$6,0)&gt;=4),"Atención","")))</f>
        <v/>
      </c>
      <c r="G34" s="0" t="str">
        <f aca="false">IF(OR(E34="",D34&lt;=0),"",D34)</f>
        <v/>
      </c>
      <c r="H34" s="0" t="str">
        <f aca="false">IF(G34="","",G34*E34)</f>
        <v/>
      </c>
      <c r="I34" s="0" t="s">
        <v>54</v>
      </c>
    </row>
    <row r="35" customFormat="false" ht="15" hidden="false" customHeight="false" outlineLevel="0" collapsed="false">
      <c r="A35" s="0" t="s">
        <v>49</v>
      </c>
      <c r="B35" s="0" t="s">
        <v>55</v>
      </c>
      <c r="C35" s="6" t="s">
        <v>14</v>
      </c>
      <c r="D35" s="7" t="n">
        <v>1</v>
      </c>
      <c r="E35" s="0" t="str">
        <f aca="false">IF(OR(C35="",C35="No sé"),"",IF($A35="Bueno",(MATCH(C35,Datos!$A$2:$A$6,0)-1)*25,100-(MATCH(C35,Datos!$A$2:$A$6,0)-1)*25))</f>
        <v/>
      </c>
      <c r="F35" s="8" t="str">
        <f aca="false">IF(OR(C35="",C35="No sé"),"",IF(AND(I35="Seguridad",MATCH(C35,Datos!$A$2:$A$6,0)&gt;=2),"ALERTA DE SEGURIDAD",IF(AND(I35="Atención",MATCH(C35,Datos!$A$2:$A$6,0)&gt;=4),"Atención","")))</f>
        <v/>
      </c>
      <c r="G35" s="0" t="str">
        <f aca="false">IF(OR(E35="",D35&lt;=0),"",D35)</f>
        <v/>
      </c>
      <c r="H35" s="0" t="str">
        <f aca="false">IF(G35="","",G35*E35)</f>
        <v/>
      </c>
    </row>
    <row r="36" customFormat="false" ht="15" hidden="false" customHeight="false" outlineLevel="0" collapsed="false">
      <c r="A36" s="0" t="s">
        <v>49</v>
      </c>
      <c r="B36" s="0" t="s">
        <v>56</v>
      </c>
      <c r="C36" s="6" t="s">
        <v>14</v>
      </c>
      <c r="D36" s="7" t="n">
        <v>1</v>
      </c>
      <c r="E36" s="0" t="str">
        <f aca="false">IF(OR(C36="",C36="No sé"),"",IF($A36="Bueno",(MATCH(C36,Datos!$A$2:$A$6,0)-1)*25,100-(MATCH(C36,Datos!$A$2:$A$6,0)-1)*25))</f>
        <v/>
      </c>
      <c r="F36" s="8" t="str">
        <f aca="false">IF(OR(C36="",C36="No sé"),"",IF(AND(I36="Seguridad",MATCH(C36,Datos!$A$2:$A$6,0)&gt;=2),"ALERTA DE SEGURIDAD",IF(AND(I36="Atención",MATCH(C36,Datos!$A$2:$A$6,0)&gt;=4),"Atención","")))</f>
        <v/>
      </c>
      <c r="G36" s="0" t="str">
        <f aca="false">IF(OR(E36="",D36&lt;=0),"",D36)</f>
        <v/>
      </c>
      <c r="H36" s="0" t="str">
        <f aca="false">IF(G36="","",G36*E36)</f>
        <v/>
      </c>
    </row>
    <row r="37" customFormat="false" ht="15" hidden="false" customHeight="false" outlineLevel="0" collapsed="false">
      <c r="A37" s="0" t="s">
        <v>49</v>
      </c>
      <c r="B37" s="0" t="s">
        <v>57</v>
      </c>
      <c r="C37" s="6" t="s">
        <v>14</v>
      </c>
      <c r="D37" s="7" t="n">
        <v>1</v>
      </c>
      <c r="E37" s="0" t="str">
        <f aca="false">IF(OR(C37="",C37="No sé"),"",IF($A37="Bueno",(MATCH(C37,Datos!$A$2:$A$6,0)-1)*25,100-(MATCH(C37,Datos!$A$2:$A$6,0)-1)*25))</f>
        <v/>
      </c>
      <c r="F37" s="8" t="str">
        <f aca="false">IF(OR(C37="",C37="No sé"),"",IF(AND(I37="Seguridad",MATCH(C37,Datos!$A$2:$A$6,0)&gt;=2),"ALERTA DE SEGURIDAD",IF(AND(I37="Atención",MATCH(C37,Datos!$A$2:$A$6,0)&gt;=4),"Atención","")))</f>
        <v/>
      </c>
      <c r="G37" s="0" t="str">
        <f aca="false">IF(OR(E37="",D37&lt;=0),"",D37)</f>
        <v/>
      </c>
      <c r="H37" s="0" t="str">
        <f aca="false">IF(G37="","",G37*E37)</f>
        <v/>
      </c>
    </row>
    <row r="38" customFormat="false" ht="15" hidden="false" customHeight="false" outlineLevel="0" collapsed="false">
      <c r="A38" s="0" t="s">
        <v>49</v>
      </c>
      <c r="B38" s="0" t="s">
        <v>58</v>
      </c>
      <c r="C38" s="6" t="s">
        <v>14</v>
      </c>
      <c r="D38" s="7" t="n">
        <v>1</v>
      </c>
      <c r="E38" s="0" t="str">
        <f aca="false">IF(OR(C38="",C38="No sé"),"",IF($A38="Bueno",(MATCH(C38,Datos!$A$2:$A$6,0)-1)*25,100-(MATCH(C38,Datos!$A$2:$A$6,0)-1)*25))</f>
        <v/>
      </c>
      <c r="F38" s="8" t="str">
        <f aca="false">IF(OR(C38="",C38="No sé"),"",IF(AND(I38="Seguridad",MATCH(C38,Datos!$A$2:$A$6,0)&gt;=2),"ALERTA DE SEGURIDAD",IF(AND(I38="Atención",MATCH(C38,Datos!$A$2:$A$6,0)&gt;=4),"Atención","")))</f>
        <v/>
      </c>
      <c r="G38" s="0" t="str">
        <f aca="false">IF(OR(E38="",D38&lt;=0),"",D38)</f>
        <v/>
      </c>
      <c r="H38" s="0" t="str">
        <f aca="false">IF(G38="","",G38*E38)</f>
        <v/>
      </c>
    </row>
    <row r="39" customFormat="false" ht="15" hidden="false" customHeight="false" outlineLevel="0" collapsed="false">
      <c r="A39" s="0" t="s">
        <v>49</v>
      </c>
      <c r="B39" s="0" t="s">
        <v>59</v>
      </c>
      <c r="C39" s="6" t="s">
        <v>14</v>
      </c>
      <c r="D39" s="7" t="n">
        <v>1</v>
      </c>
      <c r="E39" s="0" t="str">
        <f aca="false">IF(OR(C39="",C39="No sé"),"",IF($A39="Bueno",(MATCH(C39,Datos!$A$2:$A$6,0)-1)*25,100-(MATCH(C39,Datos!$A$2:$A$6,0)-1)*25))</f>
        <v/>
      </c>
      <c r="F39" s="8" t="str">
        <f aca="false">IF(OR(C39="",C39="No sé"),"",IF(AND(I39="Seguridad",MATCH(C39,Datos!$A$2:$A$6,0)&gt;=2),"ALERTA DE SEGURIDAD",IF(AND(I39="Atención",MATCH(C39,Datos!$A$2:$A$6,0)&gt;=4),"Atención","")))</f>
        <v/>
      </c>
      <c r="G39" s="0" t="str">
        <f aca="false">IF(OR(E39="",D39&lt;=0),"",D39)</f>
        <v/>
      </c>
      <c r="H39" s="0" t="str">
        <f aca="false">IF(G39="","",G39*E39)</f>
        <v/>
      </c>
    </row>
    <row r="40" customFormat="false" ht="15" hidden="false" customHeight="false" outlineLevel="0" collapsed="false">
      <c r="A40" s="0" t="s">
        <v>49</v>
      </c>
      <c r="B40" s="0" t="s">
        <v>60</v>
      </c>
      <c r="C40" s="6" t="s">
        <v>14</v>
      </c>
      <c r="D40" s="7" t="n">
        <v>1</v>
      </c>
      <c r="E40" s="0" t="str">
        <f aca="false">IF(OR(C40="",C40="No sé"),"",IF($A40="Bueno",(MATCH(C40,Datos!$A$2:$A$6,0)-1)*25,100-(MATCH(C40,Datos!$A$2:$A$6,0)-1)*25))</f>
        <v/>
      </c>
      <c r="F40" s="8" t="str">
        <f aca="false">IF(OR(C40="",C40="No sé"),"",IF(AND(I40="Seguridad",MATCH(C40,Datos!$A$2:$A$6,0)&gt;=2),"ALERTA DE SEGURIDAD",IF(AND(I40="Atención",MATCH(C40,Datos!$A$2:$A$6,0)&gt;=4),"Atención","")))</f>
        <v/>
      </c>
      <c r="G40" s="0" t="str">
        <f aca="false">IF(OR(E40="",D40&lt;=0),"",D40)</f>
        <v/>
      </c>
      <c r="H40" s="0" t="str">
        <f aca="false">IF(G40="","",G40*E40)</f>
        <v/>
      </c>
    </row>
    <row r="41" customFormat="false" ht="15" hidden="false" customHeight="false" outlineLevel="0" collapsed="false">
      <c r="A41" s="0" t="s">
        <v>49</v>
      </c>
      <c r="B41" s="0" t="s">
        <v>61</v>
      </c>
      <c r="C41" s="6" t="s">
        <v>14</v>
      </c>
      <c r="D41" s="7" t="n">
        <v>1</v>
      </c>
      <c r="E41" s="0" t="str">
        <f aca="false">IF(OR(C41="",C41="No sé"),"",IF($A41="Bueno",(MATCH(C41,Datos!$A$2:$A$6,0)-1)*25,100-(MATCH(C41,Datos!$A$2:$A$6,0)-1)*25))</f>
        <v/>
      </c>
      <c r="F41" s="8" t="str">
        <f aca="false">IF(OR(C41="",C41="No sé"),"",IF(AND(I41="Seguridad",MATCH(C41,Datos!$A$2:$A$6,0)&gt;=2),"ALERTA DE SEGURIDAD",IF(AND(I41="Atención",MATCH(C41,Datos!$A$2:$A$6,0)&gt;=4),"Atención","")))</f>
        <v/>
      </c>
      <c r="G41" s="0" t="str">
        <f aca="false">IF(OR(E41="",D41&lt;=0),"",D41)</f>
        <v/>
      </c>
      <c r="H41" s="0" t="str">
        <f aca="false">IF(G41="","",G41*E41)</f>
        <v/>
      </c>
    </row>
    <row r="42" customFormat="false" ht="15" hidden="false" customHeight="false" outlineLevel="0" collapsed="false">
      <c r="A42" s="0" t="s">
        <v>49</v>
      </c>
      <c r="B42" s="0" t="s">
        <v>62</v>
      </c>
      <c r="C42" s="6" t="s">
        <v>14</v>
      </c>
      <c r="D42" s="7" t="n">
        <v>1</v>
      </c>
      <c r="E42" s="0" t="str">
        <f aca="false">IF(OR(C42="",C42="No sé"),"",IF($A42="Bueno",(MATCH(C42,Datos!$A$2:$A$6,0)-1)*25,100-(MATCH(C42,Datos!$A$2:$A$6,0)-1)*25))</f>
        <v/>
      </c>
      <c r="F42" s="8" t="str">
        <f aca="false">IF(OR(C42="",C42="No sé"),"",IF(AND(I42="Seguridad",MATCH(C42,Datos!$A$2:$A$6,0)&gt;=2),"ALERTA DE SEGURIDAD",IF(AND(I42="Atención",MATCH(C42,Datos!$A$2:$A$6,0)&gt;=4),"Atención","")))</f>
        <v/>
      </c>
      <c r="G42" s="0" t="str">
        <f aca="false">IF(OR(E42="",D42&lt;=0),"",D42)</f>
        <v/>
      </c>
      <c r="H42" s="0" t="str">
        <f aca="false">IF(G42="","",G42*E42)</f>
        <v/>
      </c>
    </row>
    <row r="43" customFormat="false" ht="15" hidden="false" customHeight="false" outlineLevel="0" collapsed="false">
      <c r="A43" s="0" t="s">
        <v>49</v>
      </c>
      <c r="B43" s="0" t="s">
        <v>63</v>
      </c>
      <c r="C43" s="6" t="s">
        <v>14</v>
      </c>
      <c r="D43" s="7" t="n">
        <v>1</v>
      </c>
      <c r="E43" s="0" t="str">
        <f aca="false">IF(OR(C43="",C43="No sé"),"",IF($A43="Bueno",(MATCH(C43,Datos!$A$2:$A$6,0)-1)*25,100-(MATCH(C43,Datos!$A$2:$A$6,0)-1)*25))</f>
        <v/>
      </c>
      <c r="F43" s="8" t="str">
        <f aca="false">IF(OR(C43="",C43="No sé"),"",IF(AND(I43="Seguridad",MATCH(C43,Datos!$A$2:$A$6,0)&gt;=2),"ALERTA DE SEGURIDAD",IF(AND(I43="Atención",MATCH(C43,Datos!$A$2:$A$6,0)&gt;=4),"Atención","")))</f>
        <v/>
      </c>
      <c r="G43" s="0" t="str">
        <f aca="false">IF(OR(E43="",D43&lt;=0),"",D43)</f>
        <v/>
      </c>
      <c r="H43" s="0" t="str">
        <f aca="false">IF(G43="","",G43*E43)</f>
        <v/>
      </c>
    </row>
    <row r="44" customFormat="false" ht="15" hidden="false" customHeight="false" outlineLevel="0" collapsed="false">
      <c r="A44" s="0" t="s">
        <v>49</v>
      </c>
      <c r="B44" s="0" t="s">
        <v>64</v>
      </c>
      <c r="C44" s="6" t="s">
        <v>14</v>
      </c>
      <c r="D44" s="7" t="n">
        <v>1</v>
      </c>
      <c r="E44" s="0" t="str">
        <f aca="false">IF(OR(C44="",C44="No sé"),"",IF($A44="Bueno",(MATCH(C44,Datos!$A$2:$A$6,0)-1)*25,100-(MATCH(C44,Datos!$A$2:$A$6,0)-1)*25))</f>
        <v/>
      </c>
      <c r="F44" s="8" t="str">
        <f aca="false">IF(OR(C44="",C44="No sé"),"",IF(AND(I44="Seguridad",MATCH(C44,Datos!$A$2:$A$6,0)&gt;=2),"ALERTA DE SEGURIDAD",IF(AND(I44="Atención",MATCH(C44,Datos!$A$2:$A$6,0)&gt;=4),"Atención","")))</f>
        <v/>
      </c>
      <c r="G44" s="0" t="str">
        <f aca="false">IF(OR(E44="",D44&lt;=0),"",D44)</f>
        <v/>
      </c>
      <c r="H44" s="0" t="str">
        <f aca="false">IF(G44="","",G44*E44)</f>
        <v/>
      </c>
      <c r="I44" s="0" t="s">
        <v>65</v>
      </c>
    </row>
    <row r="45" customFormat="false" ht="15" hidden="false" customHeight="false" outlineLevel="0" collapsed="false">
      <c r="A45" s="0" t="s">
        <v>49</v>
      </c>
      <c r="B45" s="0" t="s">
        <v>66</v>
      </c>
      <c r="C45" s="6" t="s">
        <v>14</v>
      </c>
      <c r="D45" s="7" t="n">
        <v>1</v>
      </c>
      <c r="E45" s="0" t="str">
        <f aca="false">IF(OR(C45="",C45="No sé"),"",IF($A45="Bueno",(MATCH(C45,Datos!$A$2:$A$6,0)-1)*25,100-(MATCH(C45,Datos!$A$2:$A$6,0)-1)*25))</f>
        <v/>
      </c>
      <c r="F45" s="8" t="str">
        <f aca="false">IF(OR(C45="",C45="No sé"),"",IF(AND(I45="Seguridad",MATCH(C45,Datos!$A$2:$A$6,0)&gt;=2),"ALERTA DE SEGURIDAD",IF(AND(I45="Atención",MATCH(C45,Datos!$A$2:$A$6,0)&gt;=4),"Atención","")))</f>
        <v/>
      </c>
      <c r="G45" s="0" t="str">
        <f aca="false">IF(OR(E45="",D45&lt;=0),"",D45)</f>
        <v/>
      </c>
      <c r="H45" s="0" t="str">
        <f aca="false">IF(G45="","",G45*E45)</f>
        <v/>
      </c>
    </row>
    <row r="46" customFormat="false" ht="15" hidden="false" customHeight="false" outlineLevel="0" collapsed="false">
      <c r="A46" s="0" t="s">
        <v>49</v>
      </c>
      <c r="B46" s="0" t="s">
        <v>67</v>
      </c>
      <c r="C46" s="6" t="s">
        <v>14</v>
      </c>
      <c r="D46" s="7" t="n">
        <v>1</v>
      </c>
      <c r="E46" s="0" t="str">
        <f aca="false">IF(OR(C46="",C46="No sé"),"",IF($A46="Bueno",(MATCH(C46,Datos!$A$2:$A$6,0)-1)*25,100-(MATCH(C46,Datos!$A$2:$A$6,0)-1)*25))</f>
        <v/>
      </c>
      <c r="F46" s="8" t="str">
        <f aca="false">IF(OR(C46="",C46="No sé"),"",IF(AND(I46="Seguridad",MATCH(C46,Datos!$A$2:$A$6,0)&gt;=2),"ALERTA DE SEGURIDAD",IF(AND(I46="Atención",MATCH(C46,Datos!$A$2:$A$6,0)&gt;=4),"Atención","")))</f>
        <v/>
      </c>
      <c r="G46" s="0" t="str">
        <f aca="false">IF(OR(E46="",D46&lt;=0),"",D46)</f>
        <v/>
      </c>
      <c r="H46" s="0" t="str">
        <f aca="false">IF(G46="","",G46*E46)</f>
        <v/>
      </c>
      <c r="I46" s="0" t="s">
        <v>65</v>
      </c>
    </row>
    <row r="47" customFormat="false" ht="15" hidden="false" customHeight="false" outlineLevel="0" collapsed="false">
      <c r="A47" s="0" t="s">
        <v>49</v>
      </c>
      <c r="B47" s="0" t="s">
        <v>68</v>
      </c>
      <c r="C47" s="6" t="s">
        <v>14</v>
      </c>
      <c r="D47" s="7" t="n">
        <v>1</v>
      </c>
      <c r="E47" s="0" t="str">
        <f aca="false">IF(OR(C47="",C47="No sé"),"",IF($A47="Bueno",(MATCH(C47,Datos!$A$2:$A$6,0)-1)*25,100-(MATCH(C47,Datos!$A$2:$A$6,0)-1)*25))</f>
        <v/>
      </c>
      <c r="F47" s="8" t="str">
        <f aca="false">IF(OR(C47="",C47="No sé"),"",IF(AND(I47="Seguridad",MATCH(C47,Datos!$A$2:$A$6,0)&gt;=2),"ALERTA DE SEGURIDAD",IF(AND(I47="Atención",MATCH(C47,Datos!$A$2:$A$6,0)&gt;=4),"Atención","")))</f>
        <v/>
      </c>
      <c r="G47" s="0" t="str">
        <f aca="false">IF(OR(E47="",D47&lt;=0),"",D47)</f>
        <v/>
      </c>
      <c r="H47" s="0" t="str">
        <f aca="false">IF(G47="","",G47*E47)</f>
        <v/>
      </c>
    </row>
    <row r="48" customFormat="false" ht="15" hidden="false" customHeight="false" outlineLevel="0" collapsed="false">
      <c r="A48" s="0" t="s">
        <v>49</v>
      </c>
      <c r="B48" s="0" t="s">
        <v>69</v>
      </c>
      <c r="C48" s="6" t="s">
        <v>14</v>
      </c>
      <c r="D48" s="7" t="n">
        <v>1</v>
      </c>
      <c r="E48" s="0" t="str">
        <f aca="false">IF(OR(C48="",C48="No sé"),"",IF($A48="Bueno",(MATCH(C48,Datos!$A$2:$A$6,0)-1)*25,100-(MATCH(C48,Datos!$A$2:$A$6,0)-1)*25))</f>
        <v/>
      </c>
      <c r="F48" s="8" t="str">
        <f aca="false">IF(OR(C48="",C48="No sé"),"",IF(AND(I48="Seguridad",MATCH(C48,Datos!$A$2:$A$6,0)&gt;=2),"ALERTA DE SEGURIDAD",IF(AND(I48="Atención",MATCH(C48,Datos!$A$2:$A$6,0)&gt;=4),"Atención","")))</f>
        <v/>
      </c>
      <c r="G48" s="0" t="str">
        <f aca="false">IF(OR(E48="",D48&lt;=0),"",D48)</f>
        <v/>
      </c>
      <c r="H48" s="0" t="str">
        <f aca="false">IF(G48="","",G48*E48)</f>
        <v/>
      </c>
    </row>
    <row r="49" customFormat="false" ht="15" hidden="false" customHeight="false" outlineLevel="0" collapsed="false">
      <c r="A49" s="0" t="s">
        <v>49</v>
      </c>
      <c r="B49" s="0" t="s">
        <v>70</v>
      </c>
      <c r="C49" s="6" t="s">
        <v>14</v>
      </c>
      <c r="D49" s="7" t="n">
        <v>1</v>
      </c>
      <c r="E49" s="0" t="str">
        <f aca="false">IF(OR(C49="",C49="No sé"),"",IF($A49="Bueno",(MATCH(C49,Datos!$A$2:$A$6,0)-1)*25,100-(MATCH(C49,Datos!$A$2:$A$6,0)-1)*25))</f>
        <v/>
      </c>
      <c r="F49" s="8" t="str">
        <f aca="false">IF(OR(C49="",C49="No sé"),"",IF(AND(I49="Seguridad",MATCH(C49,Datos!$A$2:$A$6,0)&gt;=2),"ALERTA DE SEGURIDAD",IF(AND(I49="Atención",MATCH(C49,Datos!$A$2:$A$6,0)&gt;=4),"Atención","")))</f>
        <v/>
      </c>
      <c r="G49" s="0" t="str">
        <f aca="false">IF(OR(E49="",D49&lt;=0),"",D49)</f>
        <v/>
      </c>
      <c r="H49" s="0" t="str">
        <f aca="false">IF(G49="","",G49*E49)</f>
        <v/>
      </c>
    </row>
    <row r="50" customFormat="false" ht="15" hidden="false" customHeight="false" outlineLevel="0" collapsed="false">
      <c r="A50" s="0" t="s">
        <v>49</v>
      </c>
      <c r="B50" s="0" t="s">
        <v>71</v>
      </c>
      <c r="C50" s="6" t="s">
        <v>14</v>
      </c>
      <c r="D50" s="7" t="n">
        <v>1</v>
      </c>
      <c r="E50" s="0" t="str">
        <f aca="false">IF(OR(C50="",C50="No sé"),"",IF($A50="Bueno",(MATCH(C50,Datos!$A$2:$A$6,0)-1)*25,100-(MATCH(C50,Datos!$A$2:$A$6,0)-1)*25))</f>
        <v/>
      </c>
      <c r="F50" s="8" t="str">
        <f aca="false">IF(OR(C50="",C50="No sé"),"",IF(AND(I50="Seguridad",MATCH(C50,Datos!$A$2:$A$6,0)&gt;=2),"ALERTA DE SEGURIDAD",IF(AND(I50="Atención",MATCH(C50,Datos!$A$2:$A$6,0)&gt;=4),"Atención","")))</f>
        <v/>
      </c>
      <c r="G50" s="0" t="str">
        <f aca="false">IF(OR(E50="",D50&lt;=0),"",D50)</f>
        <v/>
      </c>
      <c r="H50" s="0" t="str">
        <f aca="false">IF(G50="","",G50*E50)</f>
        <v/>
      </c>
    </row>
    <row r="51" customFormat="false" ht="15" hidden="false" customHeight="false" outlineLevel="0" collapsed="false">
      <c r="A51" s="0" t="s">
        <v>49</v>
      </c>
      <c r="B51" s="0" t="s">
        <v>72</v>
      </c>
      <c r="C51" s="6" t="s">
        <v>14</v>
      </c>
      <c r="D51" s="7" t="n">
        <v>1</v>
      </c>
      <c r="E51" s="0" t="str">
        <f aca="false">IF(OR(C51="",C51="No sé"),"",IF($A51="Bueno",(MATCH(C51,Datos!$A$2:$A$6,0)-1)*25,100-(MATCH(C51,Datos!$A$2:$A$6,0)-1)*25))</f>
        <v/>
      </c>
      <c r="F51" s="8" t="str">
        <f aca="false">IF(OR(C51="",C51="No sé"),"",IF(AND(I51="Seguridad",MATCH(C51,Datos!$A$2:$A$6,0)&gt;=2),"ALERTA DE SEGURIDAD",IF(AND(I51="Atención",MATCH(C51,Datos!$A$2:$A$6,0)&gt;=4),"Atención","")))</f>
        <v/>
      </c>
      <c r="G51" s="0" t="str">
        <f aca="false">IF(OR(E51="",D51&lt;=0),"",D51)</f>
        <v/>
      </c>
      <c r="H51" s="0" t="str">
        <f aca="false">IF(G51="","",G51*E51)</f>
        <v/>
      </c>
    </row>
    <row r="52" customFormat="false" ht="15" hidden="false" customHeight="false" outlineLevel="0" collapsed="false">
      <c r="A52" s="0" t="s">
        <v>49</v>
      </c>
      <c r="B52" s="0" t="s">
        <v>73</v>
      </c>
      <c r="C52" s="6" t="s">
        <v>14</v>
      </c>
      <c r="D52" s="7" t="n">
        <v>1</v>
      </c>
      <c r="E52" s="0" t="str">
        <f aca="false">IF(OR(C52="",C52="No sé"),"",IF($A52="Bueno",(MATCH(C52,Datos!$A$2:$A$6,0)-1)*25,100-(MATCH(C52,Datos!$A$2:$A$6,0)-1)*25))</f>
        <v/>
      </c>
      <c r="F52" s="8" t="str">
        <f aca="false">IF(OR(C52="",C52="No sé"),"",IF(AND(I52="Seguridad",MATCH(C52,Datos!$A$2:$A$6,0)&gt;=2),"ALERTA DE SEGURIDAD",IF(AND(I52="Atención",MATCH(C52,Datos!$A$2:$A$6,0)&gt;=4),"Atención","")))</f>
        <v/>
      </c>
      <c r="G52" s="0" t="str">
        <f aca="false">IF(OR(E52="",D52&lt;=0),"",D52)</f>
        <v/>
      </c>
      <c r="H52" s="0" t="str">
        <f aca="false">IF(G52="","",G52*E52)</f>
        <v/>
      </c>
      <c r="I52" s="0" t="s">
        <v>65</v>
      </c>
    </row>
    <row r="53" customFormat="false" ht="15" hidden="false" customHeight="false" outlineLevel="0" collapsed="false">
      <c r="A53" s="0" t="s">
        <v>49</v>
      </c>
      <c r="B53" s="0" t="s">
        <v>74</v>
      </c>
      <c r="C53" s="6" t="s">
        <v>14</v>
      </c>
      <c r="D53" s="7" t="n">
        <v>1</v>
      </c>
      <c r="E53" s="0" t="str">
        <f aca="false">IF(OR(C53="",C53="No sé"),"",IF($A53="Bueno",(MATCH(C53,Datos!$A$2:$A$6,0)-1)*25,100-(MATCH(C53,Datos!$A$2:$A$6,0)-1)*25))</f>
        <v/>
      </c>
      <c r="F53" s="8" t="str">
        <f aca="false">IF(OR(C53="",C53="No sé"),"",IF(AND(I53="Seguridad",MATCH(C53,Datos!$A$2:$A$6,0)&gt;=2),"ALERTA DE SEGURIDAD",IF(AND(I53="Atención",MATCH(C53,Datos!$A$2:$A$6,0)&gt;=4),"Atención","")))</f>
        <v/>
      </c>
      <c r="G53" s="0" t="str">
        <f aca="false">IF(OR(E53="",D53&lt;=0),"",D53)</f>
        <v/>
      </c>
      <c r="H53" s="0" t="str">
        <f aca="false">IF(G53="","",G53*E53)</f>
        <v/>
      </c>
    </row>
    <row r="54" customFormat="false" ht="15" hidden="false" customHeight="false" outlineLevel="0" collapsed="false">
      <c r="A54" s="0" t="s">
        <v>49</v>
      </c>
      <c r="B54" s="0" t="s">
        <v>75</v>
      </c>
      <c r="C54" s="6" t="s">
        <v>14</v>
      </c>
      <c r="D54" s="7" t="n">
        <v>1</v>
      </c>
      <c r="E54" s="0" t="str">
        <f aca="false">IF(OR(C54="",C54="No sé"),"",IF($A54="Bueno",(MATCH(C54,Datos!$A$2:$A$6,0)-1)*25,100-(MATCH(C54,Datos!$A$2:$A$6,0)-1)*25))</f>
        <v/>
      </c>
      <c r="F54" s="8" t="str">
        <f aca="false">IF(OR(C54="",C54="No sé"),"",IF(AND(I54="Seguridad",MATCH(C54,Datos!$A$2:$A$6,0)&gt;=2),"ALERTA DE SEGURIDAD",IF(AND(I54="Atención",MATCH(C54,Datos!$A$2:$A$6,0)&gt;=4),"Atención","")))</f>
        <v/>
      </c>
      <c r="G54" s="0" t="str">
        <f aca="false">IF(OR(E54="",D54&lt;=0),"",D54)</f>
        <v/>
      </c>
      <c r="H54" s="0" t="str">
        <f aca="false">IF(G54="","",G54*E54)</f>
        <v/>
      </c>
      <c r="I54" s="0" t="s">
        <v>54</v>
      </c>
    </row>
    <row r="55" customFormat="false" ht="15" hidden="false" customHeight="false" outlineLevel="0" collapsed="false">
      <c r="A55" s="0" t="s">
        <v>49</v>
      </c>
      <c r="B55" s="0" t="s">
        <v>76</v>
      </c>
      <c r="C55" s="6" t="s">
        <v>14</v>
      </c>
      <c r="D55" s="7" t="n">
        <v>1</v>
      </c>
      <c r="E55" s="0" t="str">
        <f aca="false">IF(OR(C55="",C55="No sé"),"",IF($A55="Bueno",(MATCH(C55,Datos!$A$2:$A$6,0)-1)*25,100-(MATCH(C55,Datos!$A$2:$A$6,0)-1)*25))</f>
        <v/>
      </c>
      <c r="F55" s="8" t="str">
        <f aca="false">IF(OR(C55="",C55="No sé"),"",IF(AND(I55="Seguridad",MATCH(C55,Datos!$A$2:$A$6,0)&gt;=2),"ALERTA DE SEGURIDAD",IF(AND(I55="Atención",MATCH(C55,Datos!$A$2:$A$6,0)&gt;=4),"Atención","")))</f>
        <v/>
      </c>
      <c r="G55" s="0" t="str">
        <f aca="false">IF(OR(E55="",D55&lt;=0),"",D55)</f>
        <v/>
      </c>
      <c r="H55" s="0" t="str">
        <f aca="false">IF(G55="","",G55*E55)</f>
        <v/>
      </c>
      <c r="I55" s="0" t="s">
        <v>54</v>
      </c>
    </row>
  </sheetData>
  <mergeCells count="5">
    <mergeCell ref="A1:I1"/>
    <mergeCell ref="A2:I2"/>
    <mergeCell ref="L12:L15"/>
    <mergeCell ref="K17:L20"/>
    <mergeCell ref="K22:L28"/>
  </mergeCells>
  <conditionalFormatting sqref="F5:F55">
    <cfRule type="containsText" priority="2" operator="containsText" aboveAverage="0" equalAverage="0" bottom="0" percent="0" rank="0" text="" dxfId="0">
      <formula>NOT(ISERROR(SEARCH("",F5)))</formula>
    </cfRule>
    <cfRule type="containsText" priority="3" operator="containsText" aboveAverage="0" equalAverage="0" bottom="0" percent="0" rank="0" text="" dxfId="1">
      <formula>NOT(ISERROR(SEARCH("",F5)))</formula>
    </cfRule>
  </conditionalFormatting>
  <dataValidations count="2">
    <dataValidation allowBlank="false" error="Elegí una opción de la lista." errorStyle="stop" errorTitle="Respuesta" operator="between" showDropDown="false" showErrorMessage="true" showInputMessage="false" sqref="C5:C55" type="list">
      <formula1>Datos!$A$2:$A$7</formula1>
      <formula2>0</formula2>
    </dataValidation>
    <dataValidation allowBlank="false" error="El peso debe ser un número mayor o igual que 0." errorStyle="stop" errorTitle="Peso" operator="greaterThanOrEqual" showDropDown="false" showErrorMessage="true" showInputMessage="false" sqref="D5:D55" type="decimal">
      <formula1>0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4296875" defaultRowHeight="15" zeroHeight="false" outlineLevelRow="0" outlineLevelCol="0"/>
  <cols>
    <col collapsed="false" customWidth="true" hidden="false" outlineLevel="0" max="1" min="1" style="0" width="110"/>
  </cols>
  <sheetData>
    <row r="1" customFormat="false" ht="15" hidden="false" customHeight="false" outlineLevel="0" collapsed="false">
      <c r="A1" s="15" t="s">
        <v>77</v>
      </c>
    </row>
    <row r="2" customFormat="false" ht="15" hidden="false" customHeight="false" outlineLevel="0" collapsed="false">
      <c r="A2" s="16" t="s">
        <v>78</v>
      </c>
    </row>
    <row r="3" customFormat="false" ht="15" hidden="false" customHeight="false" outlineLevel="0" collapsed="false">
      <c r="A3" s="16" t="s">
        <v>79</v>
      </c>
    </row>
    <row r="4" customFormat="false" ht="15" hidden="false" customHeight="false" outlineLevel="0" collapsed="false">
      <c r="A4" s="16" t="s">
        <v>80</v>
      </c>
    </row>
    <row r="5" customFormat="false" ht="15" hidden="false" customHeight="false" outlineLevel="0" collapsed="false">
      <c r="A5" s="16"/>
    </row>
    <row r="6" customFormat="false" ht="15" hidden="false" customHeight="false" outlineLevel="0" collapsed="false">
      <c r="A6" s="15" t="s">
        <v>81</v>
      </c>
    </row>
    <row r="7" customFormat="false" ht="15" hidden="false" customHeight="false" outlineLevel="0" collapsed="false">
      <c r="A7" s="16" t="s">
        <v>82</v>
      </c>
    </row>
    <row r="8" customFormat="false" ht="15" hidden="false" customHeight="false" outlineLevel="0" collapsed="false">
      <c r="A8" s="16" t="s">
        <v>83</v>
      </c>
    </row>
    <row r="9" customFormat="false" ht="15" hidden="false" customHeight="false" outlineLevel="0" collapsed="false">
      <c r="A9" s="16" t="s">
        <v>84</v>
      </c>
    </row>
    <row r="10" customFormat="false" ht="15" hidden="false" customHeight="false" outlineLevel="0" collapsed="false">
      <c r="A10" s="16" t="s">
        <v>85</v>
      </c>
    </row>
    <row r="11" customFormat="false" ht="15" hidden="false" customHeight="false" outlineLevel="0" collapsed="false">
      <c r="A11" s="16" t="s">
        <v>86</v>
      </c>
    </row>
    <row r="12" customFormat="false" ht="15" hidden="false" customHeight="false" outlineLevel="0" collapsed="false">
      <c r="A12" s="16" t="s">
        <v>87</v>
      </c>
    </row>
    <row r="13" customFormat="false" ht="15" hidden="false" customHeight="false" outlineLevel="0" collapsed="false">
      <c r="A13" s="16"/>
    </row>
    <row r="14" customFormat="false" ht="15" hidden="false" customHeight="false" outlineLevel="0" collapsed="false">
      <c r="A14" s="15" t="s">
        <v>88</v>
      </c>
    </row>
    <row r="15" customFormat="false" ht="15" hidden="false" customHeight="false" outlineLevel="0" collapsed="false">
      <c r="A15" s="16" t="s">
        <v>89</v>
      </c>
    </row>
    <row r="16" customFormat="false" ht="15" hidden="false" customHeight="false" outlineLevel="0" collapsed="false">
      <c r="A16" s="16" t="s">
        <v>90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4296875" defaultRowHeight="15" zeroHeight="false" outlineLevelRow="0" outlineLevelCol="0"/>
  <cols>
    <col collapsed="false" customWidth="true" hidden="false" outlineLevel="0" max="2" min="1" style="0" width="16"/>
  </cols>
  <sheetData>
    <row r="1" s="9" customFormat="true" ht="15" hidden="false" customHeight="false" outlineLevel="0" collapsed="false">
      <c r="A1" s="9" t="s">
        <v>4</v>
      </c>
      <c r="B1" s="9" t="s">
        <v>91</v>
      </c>
    </row>
    <row r="2" customFormat="false" ht="15" hidden="false" customHeight="false" outlineLevel="0" collapsed="false">
      <c r="A2" s="0" t="s">
        <v>92</v>
      </c>
      <c r="B2" s="0" t="n">
        <v>0</v>
      </c>
    </row>
    <row r="3" customFormat="false" ht="15" hidden="false" customHeight="false" outlineLevel="0" collapsed="false">
      <c r="A3" s="0" t="s">
        <v>93</v>
      </c>
      <c r="B3" s="0" t="n">
        <v>1</v>
      </c>
    </row>
    <row r="4" customFormat="false" ht="15" hidden="false" customHeight="false" outlineLevel="0" collapsed="false">
      <c r="A4" s="0" t="s">
        <v>94</v>
      </c>
      <c r="B4" s="0" t="n">
        <v>2</v>
      </c>
    </row>
    <row r="5" customFormat="false" ht="15" hidden="false" customHeight="false" outlineLevel="0" collapsed="false">
      <c r="A5" s="0" t="s">
        <v>95</v>
      </c>
      <c r="B5" s="0" t="n">
        <v>3</v>
      </c>
    </row>
    <row r="6" customFormat="false" ht="15" hidden="false" customHeight="false" outlineLevel="0" collapsed="false">
      <c r="A6" s="0" t="s">
        <v>96</v>
      </c>
      <c r="B6" s="0" t="n">
        <v>4</v>
      </c>
    </row>
    <row r="7" customFormat="false" ht="15" hidden="false" customHeight="false" outlineLevel="0" collapsed="false">
      <c r="A7" s="0" t="s">
        <v>14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LibreOffice/7.6.4.1$Windows_X86_64 LibreOffice_project/e19e193f88cd6c0525a17fb7a176ed8e6a3e2aa1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2026-10-12T04:07:16Z</dcterms:created>
  <dc:creator>standleymoise</dc:creator>
  <dc:description/>
  <dc:language>es-MX</dc:language>
  <cp:lastModifiedBy>Unknown</cp:lastModifiedBy>
  <dcterms:modified xsi:type="dcterms:W3CDTF">2026-10-12T04:07:16Z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